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ôj disk\Kikiriki\Faktury\"/>
    </mc:Choice>
  </mc:AlternateContent>
  <xr:revisionPtr revIDLastSave="0" documentId="8_{117ABA3D-B026-4788-9FEB-661DCFAEE473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Cenník káv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1" l="1"/>
  <c r="F33" i="1" s="1"/>
  <c r="G33" i="1" s="1"/>
  <c r="D35" i="1"/>
  <c r="F35" i="1" s="1"/>
  <c r="G35" i="1" s="1"/>
  <c r="D34" i="1"/>
  <c r="F34" i="1" s="1"/>
  <c r="G34" i="1" s="1"/>
  <c r="D32" i="1"/>
  <c r="F32" i="1" s="1"/>
  <c r="G32" i="1" s="1"/>
  <c r="D31" i="1"/>
  <c r="F31" i="1" s="1"/>
  <c r="G31" i="1" s="1"/>
  <c r="D30" i="1"/>
  <c r="F30" i="1" s="1"/>
  <c r="G30" i="1" s="1"/>
  <c r="F15" i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G14" i="1" s="1"/>
  <c r="D15" i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G24" i="1" s="1"/>
  <c r="D25" i="1"/>
  <c r="F25" i="1" s="1"/>
  <c r="D26" i="1"/>
  <c r="F26" i="1" s="1"/>
  <c r="D27" i="1"/>
  <c r="F27" i="1" s="1"/>
  <c r="D28" i="1"/>
  <c r="F28" i="1" s="1"/>
  <c r="D29" i="1"/>
  <c r="F29" i="1" s="1"/>
  <c r="D6" i="1"/>
  <c r="F6" i="1" s="1"/>
  <c r="G27" i="1" l="1"/>
  <c r="G13" i="1"/>
  <c r="G12" i="1"/>
  <c r="G23" i="1"/>
  <c r="G11" i="1"/>
  <c r="G15" i="1"/>
  <c r="G20" i="1"/>
  <c r="G21" i="1"/>
  <c r="G8" i="1"/>
  <c r="G19" i="1"/>
  <c r="G7" i="1"/>
  <c r="G18" i="1"/>
  <c r="G29" i="1"/>
  <c r="G28" i="1"/>
  <c r="G25" i="1"/>
  <c r="G10" i="1"/>
  <c r="G9" i="1"/>
  <c r="G6" i="1"/>
  <c r="G17" i="1"/>
  <c r="G16" i="1"/>
  <c r="G26" i="1"/>
  <c r="G22" i="1"/>
</calcChain>
</file>

<file path=xl/sharedStrings.xml><?xml version="1.0" encoding="utf-8"?>
<sst xmlns="http://schemas.openxmlformats.org/spreadsheetml/2006/main" count="69" uniqueCount="22">
  <si>
    <t>Stĺpec C si vyplňte aktuálnymi internetovými cenami z e‑shopu, stĺpec D zľavou pre obchodníka.</t>
  </si>
  <si>
    <t>Produkt</t>
  </si>
  <si>
    <t>Gramáž</t>
  </si>
  <si>
    <t>Internetová cena (€) – e‑shop</t>
  </si>
  <si>
    <t>Zľava pre obchodníka (%)</t>
  </si>
  <si>
    <t>Cena pre obchodníka (€)</t>
  </si>
  <si>
    <t>Rozdiel oproti e‑shopu (€)</t>
  </si>
  <si>
    <t>Aranka</t>
  </si>
  <si>
    <t>220 g</t>
  </si>
  <si>
    <t>500 g</t>
  </si>
  <si>
    <t>1 000 g</t>
  </si>
  <si>
    <t>Brazília – Donas do Café</t>
  </si>
  <si>
    <t>Etiópia – Banko Gotiti</t>
  </si>
  <si>
    <t>Etiópia – Yirgacheffe</t>
  </si>
  <si>
    <t>Frištuk</t>
  </si>
  <si>
    <t>Honduras – SHG EP San Andrés</t>
  </si>
  <si>
    <t>India Plantation AA</t>
  </si>
  <si>
    <t>Kolumbia – Huila condor</t>
  </si>
  <si>
    <r>
      <t xml:space="preserve">CENNÍK KÁV KIKIRIKI – </t>
    </r>
    <r>
      <rPr>
        <b/>
        <sz val="18"/>
        <color rgb="FFFF0000"/>
        <rFont val="Calibri"/>
        <family val="2"/>
        <scheme val="minor"/>
      </rPr>
      <t>PRIRÁŽKA</t>
    </r>
    <r>
      <rPr>
        <b/>
        <sz val="18"/>
        <color theme="1"/>
        <rFont val="Calibri"/>
        <family val="2"/>
        <scheme val="minor"/>
      </rPr>
      <t xml:space="preserve"> PRE OBCHODNÍKOV - </t>
    </r>
    <r>
      <rPr>
        <b/>
        <sz val="18"/>
        <color rgb="FFFF0000"/>
        <rFont val="Calibri"/>
        <family val="2"/>
        <scheme val="minor"/>
      </rPr>
      <t>ŠTEFI</t>
    </r>
  </si>
  <si>
    <t>bez DPH</t>
  </si>
  <si>
    <t>Indinezia</t>
  </si>
  <si>
    <t>K52% / Cucflek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</si>
</sst>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right" vertical="center"/>
    </xf>
    <xf numFmtId="4" fontId="0" fillId="3" borderId="2" xfId="0" applyNumberFormat="1" applyFill="1" applyBorder="1" applyAlignment="1">
      <alignment horizontal="right" vertical="center"/>
    </xf>
    <xf numFmtId="0" fontId="0" fillId="4" borderId="5" xfId="0" applyFill="1" applyBorder="1" applyAlignment="1">
      <alignment horizontal="left" vertical="center"/>
    </xf>
    <xf numFmtId="4" fontId="0" fillId="4" borderId="5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4" fontId="0" fillId="4" borderId="1" xfId="0" applyNumberFormat="1" applyFill="1" applyBorder="1" applyAlignment="1">
      <alignment horizontal="right" vertical="center"/>
    </xf>
    <xf numFmtId="0" fontId="0" fillId="4" borderId="10" xfId="0" applyFill="1" applyBorder="1" applyAlignment="1">
      <alignment horizontal="left" vertical="center"/>
    </xf>
    <xf numFmtId="4" fontId="0" fillId="4" borderId="10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4" fontId="0" fillId="5" borderId="5" xfId="0" applyNumberFormat="1" applyFill="1" applyBorder="1" applyAlignment="1">
      <alignment horizontal="right" vertical="center"/>
    </xf>
    <xf numFmtId="4" fontId="0" fillId="5" borderId="6" xfId="0" applyNumberFormat="1" applyFill="1" applyBorder="1" applyAlignment="1">
      <alignment horizontal="right" vertical="center"/>
    </xf>
    <xf numFmtId="0" fontId="0" fillId="5" borderId="7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" fontId="0" fillId="5" borderId="1" xfId="0" applyNumberFormat="1" applyFill="1" applyBorder="1" applyAlignment="1">
      <alignment horizontal="right" vertical="center"/>
    </xf>
    <xf numFmtId="4" fontId="0" fillId="5" borderId="8" xfId="0" applyNumberFormat="1" applyFill="1" applyBorder="1" applyAlignment="1">
      <alignment horizontal="right" vertical="center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4" fontId="0" fillId="5" borderId="10" xfId="0" applyNumberFormat="1" applyFill="1" applyBorder="1" applyAlignment="1">
      <alignment horizontal="right" vertical="center"/>
    </xf>
    <xf numFmtId="4" fontId="0" fillId="5" borderId="11" xfId="0" applyNumberFormat="1" applyFill="1" applyBorder="1" applyAlignment="1">
      <alignment horizontal="right" vertical="center"/>
    </xf>
    <xf numFmtId="0" fontId="0" fillId="6" borderId="5" xfId="0" applyFill="1" applyBorder="1" applyAlignment="1">
      <alignment horizontal="left" vertical="center"/>
    </xf>
    <xf numFmtId="4" fontId="0" fillId="6" borderId="5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/>
    </xf>
    <xf numFmtId="4" fontId="0" fillId="6" borderId="1" xfId="0" applyNumberFormat="1" applyFill="1" applyBorder="1" applyAlignment="1">
      <alignment horizontal="right" vertical="center"/>
    </xf>
    <xf numFmtId="0" fontId="0" fillId="6" borderId="10" xfId="0" applyFill="1" applyBorder="1" applyAlignment="1">
      <alignment horizontal="left" vertical="center"/>
    </xf>
    <xf numFmtId="4" fontId="0" fillId="6" borderId="10" xfId="0" applyNumberFormat="1" applyFill="1" applyBorder="1" applyAlignment="1">
      <alignment horizontal="right" vertical="center"/>
    </xf>
    <xf numFmtId="0" fontId="0" fillId="7" borderId="3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4" fontId="0" fillId="7" borderId="5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horizontal="left" vertical="center"/>
    </xf>
    <xf numFmtId="4" fontId="0" fillId="7" borderId="1" xfId="0" applyNumberFormat="1" applyFill="1" applyBorder="1" applyAlignment="1">
      <alignment horizontal="right" vertical="center"/>
    </xf>
    <xf numFmtId="0" fontId="0" fillId="7" borderId="10" xfId="0" applyFill="1" applyBorder="1" applyAlignment="1">
      <alignment horizontal="left" vertical="center"/>
    </xf>
    <xf numFmtId="4" fontId="0" fillId="7" borderId="10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4" fontId="0" fillId="8" borderId="5" xfId="0" applyNumberFormat="1" applyFill="1" applyBorder="1" applyAlignment="1">
      <alignment horizontal="right" vertical="center"/>
    </xf>
    <xf numFmtId="4" fontId="0" fillId="8" borderId="1" xfId="0" applyNumberFormat="1" applyFill="1" applyBorder="1" applyAlignment="1">
      <alignment horizontal="right" vertical="center"/>
    </xf>
    <xf numFmtId="0" fontId="0" fillId="8" borderId="10" xfId="0" applyFill="1" applyBorder="1" applyAlignment="1">
      <alignment horizontal="left" vertical="center"/>
    </xf>
    <xf numFmtId="4" fontId="0" fillId="8" borderId="10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4" fontId="0" fillId="9" borderId="5" xfId="0" applyNumberFormat="1" applyFill="1" applyBorder="1" applyAlignment="1">
      <alignment horizontal="right" vertical="center"/>
    </xf>
    <xf numFmtId="4" fontId="0" fillId="9" borderId="1" xfId="0" applyNumberFormat="1" applyFill="1" applyBorder="1" applyAlignment="1">
      <alignment horizontal="right" vertical="center"/>
    </xf>
    <xf numFmtId="0" fontId="0" fillId="9" borderId="10" xfId="0" applyFill="1" applyBorder="1" applyAlignment="1">
      <alignment horizontal="left" vertical="center"/>
    </xf>
    <xf numFmtId="4" fontId="0" fillId="9" borderId="10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4" fontId="0" fillId="10" borderId="5" xfId="0" applyNumberFormat="1" applyFill="1" applyBorder="1" applyAlignment="1">
      <alignment horizontal="right" vertical="center"/>
    </xf>
    <xf numFmtId="4" fontId="0" fillId="10" borderId="1" xfId="0" applyNumberFormat="1" applyFill="1" applyBorder="1" applyAlignment="1">
      <alignment horizontal="right" vertical="center"/>
    </xf>
    <xf numFmtId="0" fontId="0" fillId="10" borderId="10" xfId="0" applyFill="1" applyBorder="1" applyAlignment="1">
      <alignment horizontal="left" vertical="center"/>
    </xf>
    <xf numFmtId="4" fontId="0" fillId="10" borderId="10" xfId="0" applyNumberFormat="1" applyFill="1" applyBorder="1" applyAlignment="1">
      <alignment horizontal="right" vertical="center"/>
    </xf>
    <xf numFmtId="0" fontId="4" fillId="0" borderId="0" xfId="0" applyFont="1"/>
    <xf numFmtId="4" fontId="0" fillId="11" borderId="1" xfId="0" applyNumberForma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110" zoomScaleNormal="110" workbookViewId="0">
      <pane ySplit="5" topLeftCell="A10" activePane="bottomLeft" state="frozen"/>
      <selection pane="bottomLeft" activeCell="L24" sqref="L24"/>
    </sheetView>
  </sheetViews>
  <sheetFormatPr defaultRowHeight="14.4" x14ac:dyDescent="0.3"/>
  <cols>
    <col min="1" max="1" width="30.6640625" customWidth="1"/>
    <col min="2" max="2" width="10.5546875" customWidth="1"/>
    <col min="3" max="3" width="26.5546875" customWidth="1"/>
    <col min="4" max="4" width="10.44140625" customWidth="1"/>
    <col min="5" max="5" width="17.33203125" customWidth="1"/>
    <col min="6" max="6" width="22.6640625" customWidth="1"/>
    <col min="7" max="7" width="24.88671875" customWidth="1"/>
  </cols>
  <sheetData>
    <row r="1" spans="1:9" ht="23.4" x14ac:dyDescent="0.3">
      <c r="A1" s="1" t="s">
        <v>18</v>
      </c>
      <c r="B1" s="57"/>
    </row>
    <row r="2" spans="1:9" x14ac:dyDescent="0.3">
      <c r="A2" s="2" t="s">
        <v>0</v>
      </c>
    </row>
    <row r="5" spans="1:9" x14ac:dyDescent="0.3">
      <c r="A5" s="3" t="s">
        <v>1</v>
      </c>
      <c r="B5" s="3" t="s">
        <v>2</v>
      </c>
      <c r="C5" s="3" t="s">
        <v>3</v>
      </c>
      <c r="D5" s="3" t="s">
        <v>19</v>
      </c>
      <c r="E5" s="3" t="s">
        <v>4</v>
      </c>
      <c r="F5" s="3" t="s">
        <v>5</v>
      </c>
      <c r="G5" s="3" t="s">
        <v>6</v>
      </c>
    </row>
    <row r="6" spans="1:9" x14ac:dyDescent="0.3">
      <c r="A6" s="4" t="s">
        <v>7</v>
      </c>
      <c r="B6" s="4" t="s">
        <v>8</v>
      </c>
      <c r="C6" s="6">
        <v>9.9</v>
      </c>
      <c r="D6" s="6">
        <f>C6/1.19</f>
        <v>8.3193277310924376</v>
      </c>
      <c r="E6" s="6">
        <v>20</v>
      </c>
      <c r="F6" s="59">
        <f>D6/(1+(E6/100))</f>
        <v>6.9327731092436986</v>
      </c>
      <c r="G6" s="6">
        <f t="shared" ref="G6:G29" si="0">IF(AND(ISNUMBER(C6),ISNUMBER(F6)),C6-F6,"")</f>
        <v>2.9672268907563017</v>
      </c>
      <c r="I6" s="60"/>
    </row>
    <row r="7" spans="1:9" x14ac:dyDescent="0.3">
      <c r="A7" s="4" t="s">
        <v>7</v>
      </c>
      <c r="B7" s="4" t="s">
        <v>9</v>
      </c>
      <c r="C7" s="6">
        <v>19.8</v>
      </c>
      <c r="D7" s="6">
        <f t="shared" ref="D7:D29" si="1">C7/1.19</f>
        <v>16.638655462184875</v>
      </c>
      <c r="E7" s="6">
        <v>20</v>
      </c>
      <c r="F7" s="59">
        <f t="shared" ref="F7:F29" si="2">D7/(1+(E7/100))</f>
        <v>13.865546218487397</v>
      </c>
      <c r="G7" s="6">
        <f t="shared" si="0"/>
        <v>5.9344537815126035</v>
      </c>
      <c r="I7" s="60"/>
    </row>
    <row r="8" spans="1:9" ht="15" thickBot="1" x14ac:dyDescent="0.35">
      <c r="A8" s="5" t="s">
        <v>7</v>
      </c>
      <c r="B8" s="5" t="s">
        <v>10</v>
      </c>
      <c r="C8" s="7">
        <v>34</v>
      </c>
      <c r="D8" s="6">
        <f t="shared" si="1"/>
        <v>28.571428571428573</v>
      </c>
      <c r="E8" s="6">
        <v>20</v>
      </c>
      <c r="F8" s="59">
        <f t="shared" si="2"/>
        <v>23.80952380952381</v>
      </c>
      <c r="G8" s="7">
        <f t="shared" si="0"/>
        <v>10.19047619047619</v>
      </c>
      <c r="I8" s="60"/>
    </row>
    <row r="9" spans="1:9" x14ac:dyDescent="0.3">
      <c r="A9" s="14" t="s">
        <v>11</v>
      </c>
      <c r="B9" s="15" t="s">
        <v>8</v>
      </c>
      <c r="C9" s="16">
        <v>9.6999999999999993</v>
      </c>
      <c r="D9" s="6">
        <f t="shared" si="1"/>
        <v>8.1512605042016801</v>
      </c>
      <c r="E9" s="20">
        <v>20</v>
      </c>
      <c r="F9" s="59">
        <f t="shared" si="2"/>
        <v>6.7927170868347337</v>
      </c>
      <c r="G9" s="17">
        <f t="shared" si="0"/>
        <v>2.9072829131652655</v>
      </c>
      <c r="H9" s="61"/>
      <c r="I9" s="60"/>
    </row>
    <row r="10" spans="1:9" x14ac:dyDescent="0.3">
      <c r="A10" s="18" t="s">
        <v>11</v>
      </c>
      <c r="B10" s="19" t="s">
        <v>9</v>
      </c>
      <c r="C10" s="20">
        <v>19.399999999999999</v>
      </c>
      <c r="D10" s="6">
        <f t="shared" si="1"/>
        <v>16.30252100840336</v>
      </c>
      <c r="E10" s="20">
        <v>20</v>
      </c>
      <c r="F10" s="59">
        <f t="shared" si="2"/>
        <v>13.585434173669467</v>
      </c>
      <c r="G10" s="21">
        <f t="shared" si="0"/>
        <v>5.8145658263305311</v>
      </c>
      <c r="I10" s="60"/>
    </row>
    <row r="11" spans="1:9" ht="15" thickBot="1" x14ac:dyDescent="0.35">
      <c r="A11" s="22" t="s">
        <v>11</v>
      </c>
      <c r="B11" s="23" t="s">
        <v>10</v>
      </c>
      <c r="C11" s="24">
        <v>32.9</v>
      </c>
      <c r="D11" s="6">
        <f t="shared" si="1"/>
        <v>27.647058823529413</v>
      </c>
      <c r="E11" s="20">
        <v>20</v>
      </c>
      <c r="F11" s="59">
        <f t="shared" si="2"/>
        <v>23.039215686274513</v>
      </c>
      <c r="G11" s="25">
        <f t="shared" si="0"/>
        <v>9.8607843137254854</v>
      </c>
      <c r="H11" s="63"/>
      <c r="I11" s="60"/>
    </row>
    <row r="12" spans="1:9" x14ac:dyDescent="0.3">
      <c r="A12" s="32" t="s">
        <v>12</v>
      </c>
      <c r="B12" s="33" t="s">
        <v>8</v>
      </c>
      <c r="C12" s="34">
        <v>12.5</v>
      </c>
      <c r="D12" s="6">
        <f t="shared" si="1"/>
        <v>10.504201680672269</v>
      </c>
      <c r="E12" s="58">
        <v>20</v>
      </c>
      <c r="F12" s="59">
        <f t="shared" si="2"/>
        <v>8.753501400560225</v>
      </c>
      <c r="G12" s="34">
        <f t="shared" si="0"/>
        <v>3.746498599439775</v>
      </c>
      <c r="H12" s="61"/>
      <c r="I12" s="60"/>
    </row>
    <row r="13" spans="1:9" x14ac:dyDescent="0.3">
      <c r="A13" s="35" t="s">
        <v>12</v>
      </c>
      <c r="B13" s="35" t="s">
        <v>9</v>
      </c>
      <c r="C13" s="36">
        <v>25</v>
      </c>
      <c r="D13" s="6">
        <f t="shared" si="1"/>
        <v>21.008403361344538</v>
      </c>
      <c r="E13" s="58">
        <v>20</v>
      </c>
      <c r="F13" s="59">
        <f t="shared" si="2"/>
        <v>17.50700280112045</v>
      </c>
      <c r="G13" s="36">
        <f t="shared" si="0"/>
        <v>7.4929971988795501</v>
      </c>
      <c r="I13" s="60"/>
    </row>
    <row r="14" spans="1:9" ht="15" thickBot="1" x14ac:dyDescent="0.35">
      <c r="A14" s="35" t="s">
        <v>12</v>
      </c>
      <c r="B14" s="37" t="s">
        <v>10</v>
      </c>
      <c r="C14" s="38">
        <v>45</v>
      </c>
      <c r="D14" s="6">
        <f t="shared" si="1"/>
        <v>37.815126050420169</v>
      </c>
      <c r="E14" s="58">
        <v>20</v>
      </c>
      <c r="F14" s="59">
        <f t="shared" si="2"/>
        <v>31.512605042016808</v>
      </c>
      <c r="G14" s="38">
        <f t="shared" si="0"/>
        <v>13.487394957983192</v>
      </c>
      <c r="I14" s="60"/>
    </row>
    <row r="15" spans="1:9" x14ac:dyDescent="0.3">
      <c r="A15" s="39" t="s">
        <v>13</v>
      </c>
      <c r="B15" s="40" t="s">
        <v>8</v>
      </c>
      <c r="C15" s="41">
        <v>12</v>
      </c>
      <c r="D15" s="6">
        <f t="shared" si="1"/>
        <v>10.084033613445378</v>
      </c>
      <c r="E15" s="42">
        <v>20</v>
      </c>
      <c r="F15" s="59">
        <f t="shared" si="2"/>
        <v>8.4033613445378155</v>
      </c>
      <c r="G15" s="41">
        <f t="shared" si="0"/>
        <v>3.5966386554621845</v>
      </c>
      <c r="H15" s="61"/>
      <c r="I15" s="60"/>
    </row>
    <row r="16" spans="1:9" x14ac:dyDescent="0.3">
      <c r="A16" s="39" t="s">
        <v>13</v>
      </c>
      <c r="B16" s="39" t="s">
        <v>9</v>
      </c>
      <c r="C16" s="42">
        <v>24</v>
      </c>
      <c r="D16" s="6">
        <f t="shared" si="1"/>
        <v>20.168067226890756</v>
      </c>
      <c r="E16" s="42">
        <v>20</v>
      </c>
      <c r="F16" s="59">
        <f t="shared" si="2"/>
        <v>16.806722689075631</v>
      </c>
      <c r="G16" s="42">
        <f t="shared" si="0"/>
        <v>7.1932773109243691</v>
      </c>
      <c r="I16" s="60"/>
    </row>
    <row r="17" spans="1:9" ht="15" thickBot="1" x14ac:dyDescent="0.35">
      <c r="A17" s="39" t="s">
        <v>13</v>
      </c>
      <c r="B17" s="43" t="s">
        <v>10</v>
      </c>
      <c r="C17" s="44">
        <v>42</v>
      </c>
      <c r="D17" s="6">
        <f t="shared" si="1"/>
        <v>35.294117647058826</v>
      </c>
      <c r="E17" s="42">
        <v>20</v>
      </c>
      <c r="F17" s="59">
        <f t="shared" si="2"/>
        <v>29.411764705882355</v>
      </c>
      <c r="G17" s="44">
        <f t="shared" si="0"/>
        <v>12.588235294117645</v>
      </c>
      <c r="I17" s="60"/>
    </row>
    <row r="18" spans="1:9" x14ac:dyDescent="0.3">
      <c r="A18" s="45" t="s">
        <v>14</v>
      </c>
      <c r="B18" s="46" t="s">
        <v>8</v>
      </c>
      <c r="C18" s="47">
        <v>8.9</v>
      </c>
      <c r="D18" s="6">
        <f t="shared" si="1"/>
        <v>7.4789915966386564</v>
      </c>
      <c r="E18" s="48">
        <v>20</v>
      </c>
      <c r="F18" s="59">
        <f t="shared" si="2"/>
        <v>6.2324929971988805</v>
      </c>
      <c r="G18" s="47">
        <f t="shared" si="0"/>
        <v>2.6675070028011199</v>
      </c>
      <c r="I18" s="60"/>
    </row>
    <row r="19" spans="1:9" x14ac:dyDescent="0.3">
      <c r="A19" s="45" t="s">
        <v>14</v>
      </c>
      <c r="B19" s="45" t="s">
        <v>9</v>
      </c>
      <c r="C19" s="48">
        <v>17.8</v>
      </c>
      <c r="D19" s="6">
        <f t="shared" si="1"/>
        <v>14.957983193277313</v>
      </c>
      <c r="E19" s="48">
        <v>20</v>
      </c>
      <c r="F19" s="59">
        <f t="shared" si="2"/>
        <v>12.464985994397761</v>
      </c>
      <c r="G19" s="48">
        <f t="shared" si="0"/>
        <v>5.3350140056022397</v>
      </c>
      <c r="H19" s="62"/>
      <c r="I19" s="60"/>
    </row>
    <row r="20" spans="1:9" ht="15" thickBot="1" x14ac:dyDescent="0.35">
      <c r="A20" s="45" t="s">
        <v>14</v>
      </c>
      <c r="B20" s="49" t="s">
        <v>10</v>
      </c>
      <c r="C20" s="50">
        <v>29.9</v>
      </c>
      <c r="D20" s="6">
        <f t="shared" si="1"/>
        <v>25.126050420168067</v>
      </c>
      <c r="E20" s="48">
        <v>20</v>
      </c>
      <c r="F20" s="59">
        <f t="shared" si="2"/>
        <v>20.938375350140056</v>
      </c>
      <c r="G20" s="50">
        <f t="shared" si="0"/>
        <v>8.9616246498599423</v>
      </c>
      <c r="I20" s="60"/>
    </row>
    <row r="21" spans="1:9" x14ac:dyDescent="0.3">
      <c r="A21" s="10" t="s">
        <v>15</v>
      </c>
      <c r="B21" s="8" t="s">
        <v>8</v>
      </c>
      <c r="C21" s="9">
        <v>10.3</v>
      </c>
      <c r="D21" s="6">
        <f t="shared" si="1"/>
        <v>8.6554621848739508</v>
      </c>
      <c r="E21" s="11">
        <v>20</v>
      </c>
      <c r="F21" s="59">
        <f t="shared" si="2"/>
        <v>7.2128851540616257</v>
      </c>
      <c r="G21" s="9">
        <f t="shared" si="0"/>
        <v>3.087114845938375</v>
      </c>
      <c r="H21" s="61"/>
      <c r="I21" s="60"/>
    </row>
    <row r="22" spans="1:9" x14ac:dyDescent="0.3">
      <c r="A22" s="10" t="s">
        <v>15</v>
      </c>
      <c r="B22" s="10" t="s">
        <v>9</v>
      </c>
      <c r="C22" s="11">
        <v>20.6</v>
      </c>
      <c r="D22" s="6">
        <f t="shared" si="1"/>
        <v>17.310924369747902</v>
      </c>
      <c r="E22" s="11">
        <v>20</v>
      </c>
      <c r="F22" s="59">
        <f t="shared" si="2"/>
        <v>14.425770308123251</v>
      </c>
      <c r="G22" s="11">
        <f t="shared" si="0"/>
        <v>6.1742296918767501</v>
      </c>
      <c r="I22" s="60"/>
    </row>
    <row r="23" spans="1:9" ht="15" thickBot="1" x14ac:dyDescent="0.35">
      <c r="A23" s="10" t="s">
        <v>15</v>
      </c>
      <c r="B23" s="12" t="s">
        <v>10</v>
      </c>
      <c r="C23" s="13">
        <v>33.9</v>
      </c>
      <c r="D23" s="6">
        <f t="shared" si="1"/>
        <v>28.487394957983195</v>
      </c>
      <c r="E23" s="11">
        <v>20</v>
      </c>
      <c r="F23" s="59">
        <f t="shared" si="2"/>
        <v>23.739495798319329</v>
      </c>
      <c r="G23" s="13">
        <f t="shared" si="0"/>
        <v>10.16050420168067</v>
      </c>
      <c r="I23" s="60"/>
    </row>
    <row r="24" spans="1:9" x14ac:dyDescent="0.3">
      <c r="A24" s="51" t="s">
        <v>16</v>
      </c>
      <c r="B24" s="52" t="s">
        <v>8</v>
      </c>
      <c r="C24" s="53">
        <v>10.3</v>
      </c>
      <c r="D24" s="6">
        <f t="shared" si="1"/>
        <v>8.6554621848739508</v>
      </c>
      <c r="E24" s="54">
        <v>20</v>
      </c>
      <c r="F24" s="59">
        <f t="shared" si="2"/>
        <v>7.2128851540616257</v>
      </c>
      <c r="G24" s="53">
        <f t="shared" si="0"/>
        <v>3.087114845938375</v>
      </c>
      <c r="I24" s="60"/>
    </row>
    <row r="25" spans="1:9" x14ac:dyDescent="0.3">
      <c r="A25" s="51" t="s">
        <v>16</v>
      </c>
      <c r="B25" s="51" t="s">
        <v>9</v>
      </c>
      <c r="C25" s="54">
        <v>20.6</v>
      </c>
      <c r="D25" s="6">
        <f t="shared" si="1"/>
        <v>17.310924369747902</v>
      </c>
      <c r="E25" s="54">
        <v>20</v>
      </c>
      <c r="F25" s="59">
        <f t="shared" si="2"/>
        <v>14.425770308123251</v>
      </c>
      <c r="G25" s="54">
        <f t="shared" si="0"/>
        <v>6.1742296918767501</v>
      </c>
      <c r="I25" s="60"/>
    </row>
    <row r="26" spans="1:9" ht="15" thickBot="1" x14ac:dyDescent="0.35">
      <c r="A26" s="51" t="s">
        <v>16</v>
      </c>
      <c r="B26" s="55" t="s">
        <v>10</v>
      </c>
      <c r="C26" s="56">
        <v>33.9</v>
      </c>
      <c r="D26" s="6">
        <f t="shared" si="1"/>
        <v>28.487394957983195</v>
      </c>
      <c r="E26" s="54">
        <v>20</v>
      </c>
      <c r="F26" s="59">
        <f t="shared" si="2"/>
        <v>23.739495798319329</v>
      </c>
      <c r="G26" s="56">
        <f t="shared" si="0"/>
        <v>10.16050420168067</v>
      </c>
      <c r="I26" s="60"/>
    </row>
    <row r="27" spans="1:9" x14ac:dyDescent="0.3">
      <c r="A27" s="28" t="s">
        <v>17</v>
      </c>
      <c r="B27" s="26" t="s">
        <v>8</v>
      </c>
      <c r="C27" s="27">
        <v>10.7</v>
      </c>
      <c r="D27" s="6">
        <f t="shared" si="1"/>
        <v>8.9915966386554622</v>
      </c>
      <c r="E27" s="29">
        <v>20</v>
      </c>
      <c r="F27" s="59">
        <f t="shared" si="2"/>
        <v>7.4929971988795518</v>
      </c>
      <c r="G27" s="27">
        <f t="shared" si="0"/>
        <v>3.2070028011204474</v>
      </c>
      <c r="H27" s="61"/>
      <c r="I27" s="60"/>
    </row>
    <row r="28" spans="1:9" x14ac:dyDescent="0.3">
      <c r="A28" s="28" t="s">
        <v>17</v>
      </c>
      <c r="B28" s="28" t="s">
        <v>9</v>
      </c>
      <c r="C28" s="29">
        <v>21.4</v>
      </c>
      <c r="D28" s="6">
        <f t="shared" si="1"/>
        <v>17.983193277310924</v>
      </c>
      <c r="E28" s="29">
        <v>20</v>
      </c>
      <c r="F28" s="59">
        <f t="shared" si="2"/>
        <v>14.985994397759104</v>
      </c>
      <c r="G28" s="29">
        <f t="shared" si="0"/>
        <v>6.4140056022408949</v>
      </c>
      <c r="I28" s="60"/>
    </row>
    <row r="29" spans="1:9" ht="15" thickBot="1" x14ac:dyDescent="0.35">
      <c r="A29" s="28" t="s">
        <v>17</v>
      </c>
      <c r="B29" s="30" t="s">
        <v>10</v>
      </c>
      <c r="C29" s="31">
        <v>35.9</v>
      </c>
      <c r="D29" s="6">
        <f t="shared" si="1"/>
        <v>30.168067226890756</v>
      </c>
      <c r="E29" s="29">
        <v>20</v>
      </c>
      <c r="F29" s="59">
        <f t="shared" si="2"/>
        <v>25.140056022408963</v>
      </c>
      <c r="G29" s="31">
        <f t="shared" si="0"/>
        <v>10.759943977591035</v>
      </c>
      <c r="I29" s="60"/>
    </row>
    <row r="30" spans="1:9" x14ac:dyDescent="0.3">
      <c r="A30" s="4" t="s">
        <v>21</v>
      </c>
      <c r="B30" s="4" t="s">
        <v>8</v>
      </c>
      <c r="C30" s="6">
        <v>9.9</v>
      </c>
      <c r="D30" s="6">
        <f>C30/1.19</f>
        <v>8.3193277310924376</v>
      </c>
      <c r="E30" s="6">
        <v>20</v>
      </c>
      <c r="F30" s="59">
        <f>D30/(1+(E30/100))</f>
        <v>6.9327731092436986</v>
      </c>
      <c r="G30" s="6">
        <f t="shared" ref="G30:G35" si="3">IF(AND(ISNUMBER(C30),ISNUMBER(F30)),C30-F30,"")</f>
        <v>2.9672268907563017</v>
      </c>
      <c r="H30" s="61"/>
      <c r="I30" s="60"/>
    </row>
    <row r="31" spans="1:9" x14ac:dyDescent="0.3">
      <c r="A31" s="4" t="s">
        <v>21</v>
      </c>
      <c r="B31" s="4" t="s">
        <v>9</v>
      </c>
      <c r="C31" s="6">
        <v>19.8</v>
      </c>
      <c r="D31" s="6">
        <f t="shared" ref="D31:D35" si="4">C31/1.19</f>
        <v>16.638655462184875</v>
      </c>
      <c r="E31" s="6">
        <v>20</v>
      </c>
      <c r="F31" s="59">
        <f t="shared" ref="F31:F35" si="5">D31/(1+(E31/100))</f>
        <v>13.865546218487397</v>
      </c>
      <c r="G31" s="6">
        <f t="shared" si="3"/>
        <v>5.9344537815126035</v>
      </c>
      <c r="I31" s="60"/>
    </row>
    <row r="32" spans="1:9" ht="15" thickBot="1" x14ac:dyDescent="0.35">
      <c r="A32" s="4" t="s">
        <v>21</v>
      </c>
      <c r="B32" s="5" t="s">
        <v>10</v>
      </c>
      <c r="C32" s="7">
        <v>34</v>
      </c>
      <c r="D32" s="6">
        <f t="shared" si="4"/>
        <v>28.571428571428573</v>
      </c>
      <c r="E32" s="6">
        <v>20</v>
      </c>
      <c r="F32" s="59">
        <f t="shared" si="5"/>
        <v>23.80952380952381</v>
      </c>
      <c r="G32" s="7">
        <f t="shared" si="3"/>
        <v>10.19047619047619</v>
      </c>
      <c r="I32" s="60"/>
    </row>
    <row r="33" spans="1:9" ht="15" thickBot="1" x14ac:dyDescent="0.35">
      <c r="A33" s="14" t="s">
        <v>20</v>
      </c>
      <c r="B33" s="15" t="s">
        <v>8</v>
      </c>
      <c r="C33" s="16">
        <v>10.7</v>
      </c>
      <c r="D33" s="6">
        <f t="shared" si="4"/>
        <v>8.9915966386554622</v>
      </c>
      <c r="E33" s="20">
        <v>20</v>
      </c>
      <c r="F33" s="59">
        <f t="shared" si="5"/>
        <v>7.4929971988795518</v>
      </c>
      <c r="G33" s="17">
        <f t="shared" si="3"/>
        <v>3.2070028011204474</v>
      </c>
      <c r="H33" s="61"/>
      <c r="I33" s="60"/>
    </row>
    <row r="34" spans="1:9" ht="15" thickBot="1" x14ac:dyDescent="0.35">
      <c r="A34" s="14" t="s">
        <v>20</v>
      </c>
      <c r="B34" s="19" t="s">
        <v>9</v>
      </c>
      <c r="C34" s="20">
        <v>21.4</v>
      </c>
      <c r="D34" s="6">
        <f t="shared" si="4"/>
        <v>17.983193277310924</v>
      </c>
      <c r="E34" s="20">
        <v>20</v>
      </c>
      <c r="F34" s="59">
        <f t="shared" si="5"/>
        <v>14.985994397759104</v>
      </c>
      <c r="G34" s="21">
        <f t="shared" si="3"/>
        <v>6.4140056022408949</v>
      </c>
      <c r="H34" s="62"/>
      <c r="I34" s="60"/>
    </row>
    <row r="35" spans="1:9" ht="15" thickBot="1" x14ac:dyDescent="0.35">
      <c r="A35" s="14" t="s">
        <v>20</v>
      </c>
      <c r="B35" s="23" t="s">
        <v>10</v>
      </c>
      <c r="C35" s="24">
        <v>35.9</v>
      </c>
      <c r="D35" s="6">
        <f t="shared" si="4"/>
        <v>30.168067226890756</v>
      </c>
      <c r="E35" s="20">
        <v>20</v>
      </c>
      <c r="F35" s="59">
        <f t="shared" si="5"/>
        <v>25.140056022408963</v>
      </c>
      <c r="G35" s="25">
        <f t="shared" si="3"/>
        <v>10.759943977591035</v>
      </c>
      <c r="I35" s="60"/>
    </row>
    <row r="36" spans="1:9" x14ac:dyDescent="0.3">
      <c r="I36" s="6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Cenník kávy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 br</dc:creator>
  <cp:lastModifiedBy>ADMIN</cp:lastModifiedBy>
  <dcterms:created xsi:type="dcterms:W3CDTF">2026-01-22T09:33:21Z</dcterms:created>
  <dcterms:modified xsi:type="dcterms:W3CDTF">2026-09-07T12:17:00Z</dcterms:modified>
</cp:coreProperties>
</file>